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IO - Analise de Dados\Excel\"/>
    </mc:Choice>
  </mc:AlternateContent>
  <xr:revisionPtr revIDLastSave="0" documentId="13_ncr:1_{656803BA-4849-4A17-9131-DFC20C884AF6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3" l="1"/>
  <c r="G27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<sst xmlns="http://schemas.openxmlformats.org/spreadsheetml/2006/main" count="2023" uniqueCount="325">
  <si>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</si>
  <si>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</si>
  <si>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</si>
  <si>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</si>
  <si>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</si>
  <si>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</si>
  <si>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</si>
  <si>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</si>
  <si>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</si>
  <si>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</si>
  <si>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</si>
  <si>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</si>
  <si>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</si>
  <si>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</si>
  <si>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</si>
  <si>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</si>
  <si>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</si>
  <si>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</si>
  <si>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</si>
  <si>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</si>
  <si>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</si>
  <si>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</si>
  <si>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</si>
  <si>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</si>
  <si>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</si>
  <si>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</si>
  <si>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</si>
  <si>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</si>
  <si>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</si>
  <si>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</si>
  <si>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</si>
  <si>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</si>
  <si>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</si>
  <si>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</si>
  <si>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</si>
  <si>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</si>
  <si>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</si>
  <si>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</si>
  <si>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</si>
  <si>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</si>
  <si>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</si>
  <si>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</si>
  <si>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</si>
  <si>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</si>
  <si>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</si>
  <si>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</si>
  <si>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</si>
  <si>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</si>
  <si>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</si>
  <si>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</si>
  <si>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</si>
  <si>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</si>
  <si>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</si>
  <si>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</si>
  <si>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</si>
  <si>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</si>
  <si>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</si>
  <si>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</si>
  <si>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</si>
  <si>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</si>
  <si>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</si>
  <si>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</si>
  <si>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</si>
  <si>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</si>
  <si>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</si>
  <si>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</si>
  <si>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</si>
  <si>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</si>
  <si>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</si>
  <si>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</si>
  <si>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</si>
  <si>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</si>
  <si>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</si>
  <si>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</si>
  <si>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</si>
  <si>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</si>
  <si>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</si>
  <si>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</si>
  <si>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</si>
  <si>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</si>
  <si>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</si>
  <si>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</si>
  <si>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</si>
  <si>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</si>
  <si>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</si>
  <si>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</si>
  <si>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</si>
  <si>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</si>
  <si>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</si>
  <si>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</si>
  <si>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</si>
  <si>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</si>
  <si>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</si>
  <si>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</si>
  <si>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</si>
  <si>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</si>
  <si>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</si>
  <si>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</si>
  <si>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</si>
  <si>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</si>
  <si>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</si>
  <si>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</si>
  <si>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</si>
  <si>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</si>
  <si>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</si>
  <si>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</si>
  <si>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</si>
  <si>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</si>
  <si>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</si>
  <si>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</si>
  <si>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</si>
  <si>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</si>
  <si>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</si>
  <si>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</si>
  <si>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</si>
  <si>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</si>
  <si>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</si>
  <si>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</si>
  <si>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</si>
  <si>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</si>
  <si>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</si>
  <si>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</si>
  <si>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</si>
  <si>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</si>
  <si>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</si>
  <si>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</si>
  <si>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</si>
  <si>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</si>
  <si>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</si>
  <si>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</si>
  <si>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</si>
  <si>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</si>
  <si>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</si>
  <si>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</si>
  <si>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</si>
  <si>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</si>
  <si>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</si>
  <si>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</si>
  <si>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</si>
  <si>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</si>
  <si>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</si>
  <si>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</si>
  <si>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</si>
  <si>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</si>
  <si>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</si>
  <si>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</si>
  <si>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</si>
  <si>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</si>
  <si>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</si>
  <si>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</si>
  <si>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</si>
  <si>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</si>
  <si>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</si>
  <si>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</si>
  <si>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</si>
  <si>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</si>
  <si>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</si>
  <si>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</si>
  <si>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</si>
  <si>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</si>
  <si>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</si>
  <si>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</si>
  <si>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</si>
  <si>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</si>
  <si>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</si>
  <si>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</si>
  <si>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</si>
  <si>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</si>
  <si>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</si>
  <si>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</si>
  <si>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</si>
  <si>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</si>
  <si>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</si>
  <si>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</si>
  <si>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</si>
  <si>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</si>
  <si>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</si>
  <si>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</si>
  <si>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</si>
  <si>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</si>
  <si>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</si>
  <si>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</si>
  <si>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</si>
  <si>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</si>
  <si>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</si>
  <si>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</si>
  <si>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</si>
  <si>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</si>
  <si>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</si>
  <si>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</si>
  <si>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</si>
  <si>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</si>
  <si>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</si>
  <si>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</si>
  <si>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</si>
  <si>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</si>
  <si>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</si>
  <si>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</si>
  <si>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</si>
  <si>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</si>
  <si>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</si>
  <si>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</si>
  <si>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</si>
  <si>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</si>
  <si>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</si>
  <si>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</si>
  <si>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</si>
  <si>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</si>
  <si>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</si>
  <si>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</si>
  <si>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</si>
  <si>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</si>
  <si>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</si>
  <si>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</si>
  <si>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</si>
  <si>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</si>
  <si>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</si>
  <si>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</si>
  <si>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</si>
  <si>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</si>
  <si>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</si>
  <si>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</si>
  <si>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</si>
  <si>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</si>
  <si>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</si>
  <si>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</si>
  <si>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</si>
  <si>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</si>
  <si>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</si>
  <si>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</si>
  <si>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</si>
  <si>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</si>
  <si>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</si>
  <si>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</si>
  <si>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</si>
  <si>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</si>
  <si>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</si>
  <si>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</si>
  <si>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</si>
  <si>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</si>
  <si>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</si>
  <si>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</si>
  <si>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</si>
  <si>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</si>
  <si>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</si>
  <si>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</si>
  <si>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</si>
  <si>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</si>
  <si>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</si>
  <si>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</si>
  <si>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</si>
  <si>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</si>
  <si>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</si>
  <si>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</si>
  <si>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</si>
  <si>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</si>
  <si>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</si>
  <si>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</si>
  <si>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</si>
  <si>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</si>
  <si>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</si>
  <si>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</si>
  <si>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</si>
  <si>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</si>
  <si>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</si>
  <si>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</si>
  <si>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</si>
  <si>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</si>
  <si>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</si>
  <si>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</si>
  <si>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</si>
  <si>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</si>
  <si>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</si>
  <si>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</si>
  <si>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</si>
  <si>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</si>
  <si>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</si>
  <si>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</si>
  <si>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</si>
  <si>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</si>
  <si>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</si>
  <si>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</si>
  <si>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</si>
  <si>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</si>
  <si>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</si>
  <si>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</si>
  <si>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</si>
  <si>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</si>
  <si>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</si>
  <si>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</si>
  <si>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</si>
  <si>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</si>
  <si>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</si>
  <si>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</si>
  <si>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</si>
  <si>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</si>
  <si>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</si>
  <si>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</si>
  <si>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</si>
  <si>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</si>
  <si>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</si>
  <si>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</si>
  <si>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</si>
  <si>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</si>
  <si>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</si>
  <si>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</si>
  <si>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</si>
  <si>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</si>
  <si>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</si>
  <si>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</si>
  <si>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</si>
  <si>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</si>
  <si>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</t>
  </si>
  <si>
    <r>
      <t>1- 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</si>
  <si>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t>Rótulos de Linha</t>
  </si>
  <si>
    <t>Total Geral</t>
  </si>
  <si>
    <t>Soma de Total Value</t>
  </si>
  <si>
    <r>
      <t xml:space="preserve">2- Qual o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separados por auto renovação não é por renovação</t>
    </r>
  </si>
  <si>
    <t>#E8E6E9</t>
  </si>
  <si>
    <t>XBOX GAME PASS SUBSCRIPTIONS SALES</t>
  </si>
  <si>
    <t>3- Total de vendas de Assinaturas do EA Play</t>
  </si>
  <si>
    <t>Soma de EA Play Season Pass</t>
  </si>
  <si>
    <t>4- Total de Vendas de Assinaturas do Minecraft Season Pass</t>
  </si>
  <si>
    <t>Soma de Minecraft Season Pass Price</t>
  </si>
  <si>
    <t>Calculation period: 01/01/2024 - 31/04/2024 | Update date: 23/01/2025 19:00:00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</si>
</sst>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6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3" fillId="0" borderId="0" xfId="0" applyFont="1"/>
    <xf numFmtId="44" fontId="0" fillId="0" borderId="0" xfId="2" applyFont="1"/>
    <xf numFmtId="0" fontId="4" fillId="0" borderId="2" xfId="1" applyFont="1" applyBorder="1"/>
    <xf numFmtId="0" fontId="1" fillId="0" borderId="2" xfId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20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SlicerStyleLight6 2" pivot="0" table="0" count="10" xr9:uid="{CECBDC01-6D70-475C-8DF3-700C3B92C44A}">
      <tableStyleElement type="wholeTable" dxfId="5"/>
      <tableStyleElement type="headerRow" dxfId="4"/>
    </tableStyle>
    <tableStyle name="SlicerStyleLight6 2 2" pivot="0" table="0" count="10" xr9:uid="{203B0FDE-8134-4A47-817C-602BEC8D2DB7}">
      <tableStyleElement type="wholeTable" dxfId="3"/>
      <tableStyleElement type="headerRow" dxfId="2"/>
    </tableStyle>
    <tableStyle name="SlicerStyleLight6 2 3" pivot="0" table="0" count="10" xr9:uid="{096B5772-131D-4974-A55C-26B7F46BC356}">
      <tableStyleElement type="wholeTable" dxfId="1"/>
      <tableStyleElement type="headerRow" dxfId="0"/>
    </tableStyle>
  </tableStyles>
  <colors>
    <mruColors>
      <color rgb="FF22C55E"/>
      <color rgb="FF5BF6AB"/>
      <color rgb="FF5BF6A8"/>
      <color rgb="FF2AE6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02 - Projeto Dashboard.xlsx]C̳álculos!Tabela dinâmica1</c:name>
    <c:fmtId val="3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128006098026189E-2"/>
          <c:y val="6.092557798069549E-3"/>
          <c:w val="0.7775397202755282"/>
          <c:h val="0.91002064985455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C̳álculos!$C$15:$C$17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C̳álculos!$D$15:$D$17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4-4B91-B022-78C0F801A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351976"/>
        <c:axId val="538352696"/>
      </c:barChart>
      <c:catAx>
        <c:axId val="538351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8352696"/>
        <c:crosses val="autoZero"/>
        <c:auto val="1"/>
        <c:lblAlgn val="ctr"/>
        <c:lblOffset val="100"/>
        <c:noMultiLvlLbl val="0"/>
      </c:catAx>
      <c:valAx>
        <c:axId val="5383526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38351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129925</xdr:colOff>
      <xdr:row>0</xdr:row>
      <xdr:rowOff>83552</xdr:rowOff>
    </xdr:from>
    <xdr:to>
      <xdr:col>3</xdr:col>
      <xdr:colOff>233947</xdr:colOff>
      <xdr:row>3</xdr:row>
      <xdr:rowOff>119062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77D4DC-C6A4-4525-9710-9553F4F163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84" t="16305" r="73251" b="9893"/>
        <a:stretch>
          <a:fillRect/>
        </a:stretch>
      </xdr:blipFill>
      <xdr:spPr>
        <a:xfrm>
          <a:off x="2202030" y="83552"/>
          <a:ext cx="939549" cy="1014538"/>
        </a:xfrm>
        <a:prstGeom prst="rect">
          <a:avLst/>
        </a:prstGeom>
      </xdr:spPr>
    </xdr:pic>
    <xdr:clientData/>
  </xdr:twoCellAnchor>
  <xdr:twoCellAnchor editAs="absolute">
    <xdr:from>
      <xdr:col>0</xdr:col>
      <xdr:colOff>116597</xdr:colOff>
      <xdr:row>7</xdr:row>
      <xdr:rowOff>40315</xdr:rowOff>
    </xdr:from>
    <xdr:to>
      <xdr:col>0</xdr:col>
      <xdr:colOff>1945397</xdr:colOff>
      <xdr:row>20</xdr:row>
      <xdr:rowOff>95042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8B34BB4-1E4D-427F-BC3A-A9603F4620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97" y="1897690"/>
              <a:ext cx="1828800" cy="26860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193007</xdr:colOff>
      <xdr:row>4</xdr:row>
      <xdr:rowOff>88147</xdr:rowOff>
    </xdr:from>
    <xdr:to>
      <xdr:col>11</xdr:col>
      <xdr:colOff>157290</xdr:colOff>
      <xdr:row>17</xdr:row>
      <xdr:rowOff>83344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373D5574-E1B2-4798-0844-01C54A007A94}"/>
            </a:ext>
          </a:extLst>
        </xdr:cNvPr>
        <xdr:cNvGrpSpPr/>
      </xdr:nvGrpSpPr>
      <xdr:grpSpPr>
        <a:xfrm>
          <a:off x="2264695" y="1409741"/>
          <a:ext cx="5464970" cy="2590759"/>
          <a:chOff x="2226469" y="1059655"/>
          <a:chExt cx="5667376" cy="303934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1484967-E56F-5107-423A-E6F6BF1BDC66}"/>
              </a:ext>
            </a:extLst>
          </xdr:cNvPr>
          <xdr:cNvSpPr/>
        </xdr:nvSpPr>
        <xdr:spPr>
          <a:xfrm>
            <a:off x="2238373" y="1071563"/>
            <a:ext cx="5631658" cy="301228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990</a:t>
            </a:r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EFDCAEF1-D8C4-2FC9-779F-9D537A1AEC11}"/>
              </a:ext>
            </a:extLst>
          </xdr:cNvPr>
          <xdr:cNvGrpSpPr/>
        </xdr:nvGrpSpPr>
        <xdr:grpSpPr>
          <a:xfrm>
            <a:off x="2226469" y="1059655"/>
            <a:ext cx="5667376" cy="3039341"/>
            <a:chOff x="2238375" y="1071561"/>
            <a:chExt cx="5667376" cy="3039341"/>
          </a:xfrm>
        </xdr:grpSpPr>
        <xdr:sp macro="" textlink="C̳álculos!G27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911D5C47-EB51-4E8F-8E7A-DB8690FDBDD4}"/>
                </a:ext>
              </a:extLst>
            </xdr:cNvPr>
            <xdr:cNvSpPr/>
          </xdr:nvSpPr>
          <xdr:spPr>
            <a:xfrm>
              <a:off x="4357689" y="2083594"/>
              <a:ext cx="3500438" cy="188118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AAE1B65-846B-4C7C-8352-9C230546E9C9}" type="TxLink">
                <a:rPr lang="en-US" sz="4500" b="1" i="0" u="none" strike="noStrike">
                  <a:solidFill>
                    <a:schemeClr val="accent3"/>
                  </a:solidFill>
                  <a:latin typeface="Aptos Narrow"/>
                </a:rPr>
                <a:pPr algn="ctr"/>
                <a:t> R$ 990,00 </a:t>
              </a:fld>
              <a:endParaRPr lang="pt-BR" sz="4500" b="1">
                <a:solidFill>
                  <a:schemeClr val="accent3"/>
                </a:solidFill>
              </a:endParaRPr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27E4042C-6589-4AC4-BF0A-D2D00171A6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464591" y="1944236"/>
              <a:ext cx="1797846" cy="2166666"/>
            </a:xfrm>
            <a:prstGeom prst="rect">
              <a:avLst/>
            </a:prstGeom>
          </xdr:spPr>
        </xdr:pic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CB92CADB-06BB-FAE8-C83C-41F4B4BE426A}"/>
                </a:ext>
              </a:extLst>
            </xdr:cNvPr>
            <xdr:cNvSpPr/>
          </xdr:nvSpPr>
          <xdr:spPr>
            <a:xfrm>
              <a:off x="2238375" y="1071561"/>
              <a:ext cx="5667376" cy="702469"/>
            </a:xfrm>
            <a:prstGeom prst="round2SameRect">
              <a:avLst/>
            </a:prstGeom>
            <a:solidFill>
              <a:schemeClr val="accent6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5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500" b="1" baseline="0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15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12</xdr:col>
      <xdr:colOff>142875</xdr:colOff>
      <xdr:row>4</xdr:row>
      <xdr:rowOff>71437</xdr:rowOff>
    </xdr:from>
    <xdr:to>
      <xdr:col>21</xdr:col>
      <xdr:colOff>345283</xdr:colOff>
      <xdr:row>17</xdr:row>
      <xdr:rowOff>83345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7CCE707-759C-3B3A-7486-FF9C648ECB9B}"/>
            </a:ext>
          </a:extLst>
        </xdr:cNvPr>
        <xdr:cNvGrpSpPr/>
      </xdr:nvGrpSpPr>
      <xdr:grpSpPr>
        <a:xfrm>
          <a:off x="8155781" y="1393031"/>
          <a:ext cx="5667377" cy="2607470"/>
          <a:chOff x="8405813" y="1071562"/>
          <a:chExt cx="5667376" cy="302419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123759D2-FA53-461E-B5B6-3DA3E2885985}"/>
              </a:ext>
            </a:extLst>
          </xdr:cNvPr>
          <xdr:cNvGrpSpPr/>
        </xdr:nvGrpSpPr>
        <xdr:grpSpPr>
          <a:xfrm>
            <a:off x="8405813" y="1071562"/>
            <a:ext cx="5667376" cy="3024190"/>
            <a:chOff x="2226469" y="1059655"/>
            <a:chExt cx="5667376" cy="302419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C269B571-7616-EB7D-FA49-83F48401999F}"/>
                </a:ext>
              </a:extLst>
            </xdr:cNvPr>
            <xdr:cNvSpPr/>
          </xdr:nvSpPr>
          <xdr:spPr>
            <a:xfrm>
              <a:off x="2238373" y="1071563"/>
              <a:ext cx="5631658" cy="301228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990</a:t>
              </a:r>
            </a:p>
          </xdr:txBody>
        </xdr: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4FF5B4CB-B758-6E9C-78EB-CFE18C2EDC4A}"/>
                </a:ext>
              </a:extLst>
            </xdr:cNvPr>
            <xdr:cNvGrpSpPr/>
          </xdr:nvGrpSpPr>
          <xdr:grpSpPr>
            <a:xfrm>
              <a:off x="2226469" y="1059655"/>
              <a:ext cx="5667376" cy="2893220"/>
              <a:chOff x="2238375" y="1071561"/>
              <a:chExt cx="5667376" cy="2893220"/>
            </a:xfrm>
          </xdr:grpSpPr>
          <xdr:sp macro="" textlink="C̳álculos!G41">
            <xdr:nvSpPr>
              <xdr:cNvPr id="18" name="Retângulo: Cantos Arredondados 17">
                <a:extLst>
                  <a:ext uri="{FF2B5EF4-FFF2-40B4-BE49-F238E27FC236}">
                    <a16:creationId xmlns:a16="http://schemas.microsoft.com/office/drawing/2014/main" id="{23FB1FCA-1A32-B771-B275-E95D764363F3}"/>
                  </a:ext>
                </a:extLst>
              </xdr:cNvPr>
              <xdr:cNvSpPr/>
            </xdr:nvSpPr>
            <xdr:spPr>
              <a:xfrm>
                <a:off x="4357689" y="2083594"/>
                <a:ext cx="3500438" cy="1881187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087AA67-1FB2-418D-818A-AE0DA6F18D3B}" type="TxLink">
                  <a:rPr lang="en-US" sz="3600" b="1" i="0" u="none" strike="noStrike">
                    <a:solidFill>
                      <a:schemeClr val="accent3"/>
                    </a:solidFill>
                    <a:latin typeface="Aptos Narrow"/>
                  </a:rPr>
                  <a:t> R$ 1.140,00 </a:t>
                </a:fld>
                <a:endParaRPr lang="pt-BR" sz="3600" b="1">
                  <a:solidFill>
                    <a:schemeClr val="accent3"/>
                  </a:solidFill>
                </a:endParaRPr>
              </a:p>
            </xdr:txBody>
          </xdr:sp>
          <xdr:sp macro="" textlink="">
            <xdr:nvSpPr>
              <xdr:cNvPr id="20" name="Retângulo: Cantos Superiores Arredondados 19">
                <a:extLst>
                  <a:ext uri="{FF2B5EF4-FFF2-40B4-BE49-F238E27FC236}">
                    <a16:creationId xmlns:a16="http://schemas.microsoft.com/office/drawing/2014/main" id="{3291D981-CA37-9062-142B-477C2D5485DC}"/>
                  </a:ext>
                </a:extLst>
              </xdr:cNvPr>
              <xdr:cNvSpPr/>
            </xdr:nvSpPr>
            <xdr:spPr>
              <a:xfrm>
                <a:off x="2238375" y="1071561"/>
                <a:ext cx="5667376" cy="702469"/>
              </a:xfrm>
              <a:prstGeom prst="round2SameRect">
                <a:avLst/>
              </a:prstGeom>
              <a:solidFill>
                <a:schemeClr val="accent6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500" b="1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TOTAL</a:t>
                </a:r>
                <a:r>
                  <a:rPr lang="pt-BR" sz="1500" b="1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SUBSCRIPTIONS MINECRAFT SEASON PASS</a:t>
                </a:r>
                <a:endParaRPr lang="pt-BR" sz="15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228DE634-145E-45B8-AFF1-7DAB1A603E06}"/>
              </a:ext>
            </a:extLst>
          </xdr:cNvPr>
          <xdr:cNvGrpSpPr/>
        </xdr:nvGrpSpPr>
        <xdr:grpSpPr>
          <a:xfrm>
            <a:off x="8858251" y="2583656"/>
            <a:ext cx="1549476" cy="75247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BDFA42A9-9AB7-EE8B-A6D3-E73C728DBB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5D650F86-EFE5-7755-1809-D68AF40344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130968</xdr:colOff>
      <xdr:row>18</xdr:row>
      <xdr:rowOff>11907</xdr:rowOff>
    </xdr:from>
    <xdr:to>
      <xdr:col>23</xdr:col>
      <xdr:colOff>23813</xdr:colOff>
      <xdr:row>42</xdr:row>
      <xdr:rowOff>59531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856B880D-8D72-CB58-84CA-0CF65D5E0DA6}"/>
            </a:ext>
          </a:extLst>
        </xdr:cNvPr>
        <xdr:cNvGrpSpPr/>
      </xdr:nvGrpSpPr>
      <xdr:grpSpPr>
        <a:xfrm>
          <a:off x="2202656" y="4119563"/>
          <a:ext cx="12334876" cy="4619624"/>
          <a:chOff x="2190749" y="4917281"/>
          <a:chExt cx="12334876" cy="479821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0EB9FC0-CD4C-0EE6-8BE3-7D19B6D058DB}"/>
              </a:ext>
            </a:extLst>
          </xdr:cNvPr>
          <xdr:cNvGrpSpPr/>
        </xdr:nvGrpSpPr>
        <xdr:grpSpPr>
          <a:xfrm>
            <a:off x="2190749" y="5191126"/>
            <a:ext cx="12334876" cy="4524374"/>
            <a:chOff x="2166937" y="1219716"/>
            <a:chExt cx="6215063" cy="420953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25D875E-CBAC-7ED2-AB6E-A9F5D4E41C34}"/>
                </a:ext>
              </a:extLst>
            </xdr:cNvPr>
            <xdr:cNvSpPr/>
          </xdr:nvSpPr>
          <xdr:spPr>
            <a:xfrm>
              <a:off x="2166937" y="1219716"/>
              <a:ext cx="5738813" cy="383381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F6B620E-C3BB-4688-B8C2-5A427B6FFA24}"/>
                </a:ext>
              </a:extLst>
            </xdr:cNvPr>
            <xdr:cNvGraphicFramePr>
              <a:graphicFrameLocks/>
            </xdr:cNvGraphicFramePr>
          </xdr:nvGraphicFramePr>
          <xdr:xfrm>
            <a:off x="2464592" y="1357312"/>
            <a:ext cx="5917408" cy="40719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EFE6927D-F0C3-4BD6-8830-7CF64F431B10}"/>
              </a:ext>
            </a:extLst>
          </xdr:cNvPr>
          <xdr:cNvSpPr/>
        </xdr:nvSpPr>
        <xdr:spPr>
          <a:xfrm>
            <a:off x="2226468" y="4917281"/>
            <a:ext cx="11477625" cy="702469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500" b="1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5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560917</xdr:colOff>
      <xdr:row>1</xdr:row>
      <xdr:rowOff>26180</xdr:rowOff>
    </xdr:from>
    <xdr:to>
      <xdr:col>0</xdr:col>
      <xdr:colOff>1463285</xdr:colOff>
      <xdr:row>2</xdr:row>
      <xdr:rowOff>316943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B4C96453-344C-4447-B204-3B5C4716C277}"/>
            </a:ext>
          </a:extLst>
        </xdr:cNvPr>
        <xdr:cNvSpPr/>
      </xdr:nvSpPr>
      <xdr:spPr>
        <a:xfrm>
          <a:off x="560917" y="216680"/>
          <a:ext cx="902368" cy="77759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183816</xdr:colOff>
      <xdr:row>3</xdr:row>
      <xdr:rowOff>202406</xdr:rowOff>
    </xdr:from>
    <xdr:to>
      <xdr:col>0</xdr:col>
      <xdr:colOff>1938421</xdr:colOff>
      <xdr:row>4</xdr:row>
      <xdr:rowOff>130969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A92F374C-9ED8-2AF3-DE64-781C2C03F3CD}"/>
            </a:ext>
          </a:extLst>
        </xdr:cNvPr>
        <xdr:cNvSpPr/>
      </xdr:nvSpPr>
      <xdr:spPr>
        <a:xfrm>
          <a:off x="183816" y="1186447"/>
          <a:ext cx="1754605" cy="250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ysClr val="windowText" lastClr="000000"/>
              </a:solidFill>
            </a:rPr>
            <a:t>&gt; Bem</a:t>
          </a:r>
          <a:r>
            <a:rPr lang="pt-BR" sz="1400" b="1" baseline="0">
              <a:solidFill>
                <a:sysClr val="windowText" lastClr="000000"/>
              </a:solidFill>
            </a:rPr>
            <a:t> vindo, Gestor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639886805555" createdVersion="8" refreshedVersion="8" minRefreshableVersion="3" recordCount="295" xr:uid="{27133140-A5C3-49E7-B88C-586C8BA019C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96393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9A6F0-5EAE-45A6-BDE7-1A4BA10A565E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37:D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9327F-8ADD-4977-A227-ED6F303730E2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24:D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2A8CE-8786-47C5-B3E6-0A38BBCDD2B5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4:D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4A6E5E7-F63F-4143-A49B-7C7415F0B222}" sourceName="Subscription Type">
  <pivotTables>
    <pivotTable tabId="3" name="Tabela dinâmica1"/>
    <pivotTable tabId="3" name="Tabela dinâmica2"/>
    <pivotTable tabId="3" name="Tabela dinâmica3"/>
  </pivotTables>
  <data>
    <tabular pivotCacheId="179639394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2ABC6AF-BE5A-49AB-BE6B-C0C743490CB2}" cache="SegmentaçãodeDados_Subscription_Type" caption="Subscription Type" style="SlicerStyleLight6 2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7" t="s">
        <v>318</v>
      </c>
      <c r="F5" t="s">
        <v>6</v>
      </c>
    </row>
    <row r="6" spans="2:16" x14ac:dyDescent="0.25">
      <c r="B6" s="4" t="s">
        <v>3</v>
      </c>
      <c r="C6" t="s">
        <v>7</v>
      </c>
    </row>
    <row r="7" spans="2:16" x14ac:dyDescent="0.25">
      <c r="B7" s="5" t="s">
        <v>4</v>
      </c>
      <c r="C7" t="s">
        <v>8</v>
      </c>
    </row>
    <row r="8" spans="2:16" x14ac:dyDescent="0.25">
      <c r="B8" s="6" t="s">
        <v>5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G41"/>
  <sheetViews>
    <sheetView showGridLines="0" topLeftCell="A18" workbookViewId="0">
      <selection activeCell="B6" sqref="B6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3:4" x14ac:dyDescent="0.25">
      <c r="C5" t="s">
        <v>312</v>
      </c>
    </row>
    <row r="7" spans="3:4" x14ac:dyDescent="0.25">
      <c r="C7" t="s">
        <v>313</v>
      </c>
    </row>
    <row r="9" spans="3:4" x14ac:dyDescent="0.25">
      <c r="C9" t="s">
        <v>317</v>
      </c>
    </row>
    <row r="12" spans="3:4" x14ac:dyDescent="0.25">
      <c r="C12" s="12" t="s">
        <v>15</v>
      </c>
      <c r="D12" t="s">
        <v>26</v>
      </c>
    </row>
    <row r="14" spans="3:4" x14ac:dyDescent="0.25">
      <c r="C14" s="12" t="s">
        <v>314</v>
      </c>
      <c r="D14" t="s">
        <v>316</v>
      </c>
    </row>
    <row r="15" spans="3:4" x14ac:dyDescent="0.25">
      <c r="C15" s="13" t="s">
        <v>22</v>
      </c>
      <c r="D15" s="14">
        <v>806</v>
      </c>
    </row>
    <row r="16" spans="3:4" x14ac:dyDescent="0.25">
      <c r="C16" s="13" t="s">
        <v>18</v>
      </c>
      <c r="D16" s="14">
        <v>1502</v>
      </c>
    </row>
    <row r="17" spans="3:7" x14ac:dyDescent="0.25">
      <c r="C17" s="13" t="s">
        <v>315</v>
      </c>
      <c r="D17" s="14">
        <v>2308</v>
      </c>
    </row>
    <row r="20" spans="3:7" x14ac:dyDescent="0.25">
      <c r="C20" s="13" t="s">
        <v>320</v>
      </c>
    </row>
    <row r="22" spans="3:7" x14ac:dyDescent="0.25">
      <c r="C22" s="12" t="s">
        <v>15</v>
      </c>
      <c r="D22" t="s">
        <v>26</v>
      </c>
    </row>
    <row r="24" spans="3:7" x14ac:dyDescent="0.25">
      <c r="C24" s="12" t="s">
        <v>314</v>
      </c>
      <c r="D24" t="s">
        <v>321</v>
      </c>
    </row>
    <row r="25" spans="3:7" x14ac:dyDescent="0.25">
      <c r="C25" s="13" t="s">
        <v>21</v>
      </c>
      <c r="D25" s="15">
        <v>0</v>
      </c>
    </row>
    <row r="26" spans="3:7" x14ac:dyDescent="0.25">
      <c r="C26" s="13" t="s">
        <v>25</v>
      </c>
      <c r="D26" s="15">
        <v>0</v>
      </c>
    </row>
    <row r="27" spans="3:7" x14ac:dyDescent="0.25">
      <c r="C27" s="13" t="s">
        <v>17</v>
      </c>
      <c r="D27" s="15">
        <v>990</v>
      </c>
      <c r="F27" s="15"/>
      <c r="G27" s="17">
        <f>GETPIVOTDATA("EA Play Season Pass
Price",$C$24)</f>
        <v>990</v>
      </c>
    </row>
    <row r="28" spans="3:7" x14ac:dyDescent="0.25">
      <c r="C28" s="13" t="s">
        <v>315</v>
      </c>
      <c r="D28" s="15">
        <v>990</v>
      </c>
    </row>
    <row r="32" spans="3:7" x14ac:dyDescent="0.25">
      <c r="C32" t="s">
        <v>322</v>
      </c>
    </row>
    <row r="35" spans="3:7" x14ac:dyDescent="0.25">
      <c r="C35" s="12" t="s">
        <v>15</v>
      </c>
      <c r="D35" t="s">
        <v>26</v>
      </c>
    </row>
    <row r="37" spans="3:7" x14ac:dyDescent="0.25">
      <c r="C37" s="12" t="s">
        <v>314</v>
      </c>
      <c r="D37" t="s">
        <v>323</v>
      </c>
    </row>
    <row r="38" spans="3:7" x14ac:dyDescent="0.25">
      <c r="C38" s="13" t="s">
        <v>21</v>
      </c>
      <c r="D38" s="14">
        <v>0</v>
      </c>
    </row>
    <row r="39" spans="3:7" x14ac:dyDescent="0.25">
      <c r="C39" s="13" t="s">
        <v>25</v>
      </c>
      <c r="D39" s="14">
        <v>480</v>
      </c>
    </row>
    <row r="40" spans="3:7" x14ac:dyDescent="0.25">
      <c r="C40" s="13" t="s">
        <v>17</v>
      </c>
      <c r="D40" s="14">
        <v>660</v>
      </c>
    </row>
    <row r="41" spans="3:7" x14ac:dyDescent="0.25">
      <c r="C41" s="13" t="s">
        <v>315</v>
      </c>
      <c r="D41" s="14">
        <v>1140</v>
      </c>
      <c r="G41" s="17">
        <f>GETPIVOTDATA("Minecraft Season Pass Price",$C$37)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202"/>
  <sheetViews>
    <sheetView showGridLines="0" tabSelected="1" zoomScale="80" zoomScaleNormal="80" workbookViewId="0">
      <selection activeCell="X11" sqref="X11"/>
    </sheetView>
  </sheetViews>
  <sheetFormatPr defaultRowHeight="15" x14ac:dyDescent="0.25"/>
  <cols>
    <col min="1" max="1" width="31.140625" style="4" customWidth="1"/>
    <col min="2" max="2" width="3.5703125" customWidth="1"/>
    <col min="4" max="4" width="6.140625" customWidth="1"/>
    <col min="12" max="12" width="6.5703125" customWidth="1"/>
    <col min="22" max="22" width="6.42578125" customWidth="1"/>
  </cols>
  <sheetData>
    <row r="2" spans="2:26" ht="38.25" customHeight="1" thickBot="1" x14ac:dyDescent="0.5">
      <c r="E2" s="18" t="s">
        <v>319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  <c r="U2" s="20"/>
      <c r="V2" s="20"/>
    </row>
    <row r="3" spans="2:26" ht="25.5" customHeight="1" thickTop="1" x14ac:dyDescent="0.25"/>
    <row r="4" spans="2:26" ht="25.5" customHeight="1" x14ac:dyDescent="0.25">
      <c r="C4" s="16" t="s">
        <v>324</v>
      </c>
    </row>
    <row r="5" spans="2:26" ht="24.7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7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10.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9.7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33" customHeight="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Alexandre</cp:lastModifiedBy>
  <dcterms:created xsi:type="dcterms:W3CDTF">2024-12-19T13:13:10Z</dcterms:created>
  <dcterms:modified xsi:type="dcterms:W3CDTF">2026-01-24T01:24:40Z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