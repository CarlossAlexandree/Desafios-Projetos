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IO - Cursos e Projetos\Projetos - GitHub\GitHub\Meus Projetos\Excel\"/>
    </mc:Choice>
  </mc:AlternateContent>
  <xr:revisionPtr revIDLastSave="0" documentId="13_ncr:1_{E24789E6-A760-4F5C-BAB2-AB067DED26C8}" xr6:coauthVersionLast="47" xr6:coauthVersionMax="47" xr10:uidLastSave="{00000000-0000-0000-0000-000000000000}"/>
  <bookViews>
    <workbookView xWindow="-108" yWindow="-108" windowWidth="23256" windowHeight="12456" tabRatio="345" xr2:uid="{D63472A4-8300-4934-9C87-0EC792DCF89D}"/>
  </bookViews>
  <sheets>
    <sheet name="Simulador" sheetId="1" r:id="rId1"/>
    <sheet name="Tipo de Fundos" sheetId="2" r:id="rId2"/>
  </sheets>
  <definedNames>
    <definedName name="aporte">Simulador!$D$13</definedName>
    <definedName name="patrimonio">Simulador!$D$17</definedName>
    <definedName name="qtd_anos">Simulador!$D$14</definedName>
    <definedName name="rendimento_carteira">Simulador!$D$40</definedName>
    <definedName name="salario">Simulador!$D$39</definedName>
    <definedName name="sugestao_investimento">Simulador!$D$41</definedName>
    <definedName name="taxa_mensal">Simulador!$D$15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  <c r="D16" i="1"/>
  <c r="D18" i="1"/>
  <c r="C49" i="1"/>
  <c r="A5" i="2"/>
  <c r="A4" i="2"/>
  <c r="C35" i="1"/>
  <c r="D35" i="1" s="1"/>
  <c r="C34" i="1"/>
  <c r="D34" i="1" s="1"/>
  <c r="C33" i="1"/>
  <c r="D33" i="1" s="1"/>
  <c r="C32" i="1"/>
  <c r="D32" i="1" s="1"/>
  <c r="C31" i="1"/>
  <c r="D31" i="1" s="1"/>
  <c r="D17" i="1"/>
  <c r="D20" i="1" s="1"/>
  <c r="D21" i="1" s="1"/>
  <c r="D41" i="1"/>
  <c r="C50" i="1"/>
  <c r="C51" i="1"/>
  <c r="C52" i="1"/>
  <c r="C53" i="1"/>
  <c r="C54" i="1"/>
  <c r="A9" i="2"/>
  <c r="A10" i="2"/>
  <c r="A11" i="2"/>
  <c r="A12" i="2"/>
  <c r="A13" i="2"/>
  <c r="A14" i="2"/>
  <c r="A15" i="2"/>
  <c r="A16" i="2"/>
  <c r="A17" i="2"/>
  <c r="A18" i="2"/>
  <c r="A19" i="2"/>
  <c r="A20" i="2"/>
  <c r="A6" i="2"/>
  <c r="A7" i="2"/>
  <c r="A8" i="2"/>
  <c r="A3" i="2"/>
  <c r="C46" i="1"/>
  <c r="D19" i="1" l="1"/>
  <c r="D49" i="1"/>
  <c r="D54" i="1"/>
  <c r="D52" i="1"/>
  <c r="D51" i="1"/>
  <c r="D53" i="1"/>
  <c r="D50" i="1"/>
  <c r="D55" i="1" l="1"/>
</calcChain>
</file>

<file path=xl/sharedStrings.xml><?xml version="1.0" encoding="utf-8"?>
<sst xmlns="http://schemas.openxmlformats.org/spreadsheetml/2006/main" count="77" uniqueCount="42">
  <si>
    <t>Dividendo</t>
  </si>
  <si>
    <t>Rendimento Carteira</t>
  </si>
  <si>
    <t>Salário</t>
  </si>
  <si>
    <t>Conservador</t>
  </si>
  <si>
    <t>Moderado</t>
  </si>
  <si>
    <t>Agressivo</t>
  </si>
  <si>
    <t>VALOR A SER INVESTIDO POR MÊS</t>
  </si>
  <si>
    <t>PERFIL</t>
  </si>
  <si>
    <t>TIPO DE FII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</si>
  <si>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</si>
  <si>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</si>
  <si>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</si>
  <si>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</si>
  <si>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</si>
  <si>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</si>
  <si>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</si>
  <si>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</si>
  <si>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</si>
  <si>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(30%)</t>
  </si>
  <si>
    <t>(%) Sugerido</t>
  </si>
  <si>
    <t>Configurações da Simulação</t>
  </si>
  <si>
    <t>Perfil do Investidor</t>
  </si>
  <si>
    <t>Cenários de Crescimento</t>
  </si>
  <si>
    <t>Aporte mensal</t>
  </si>
  <si>
    <t>Prazo do investimento (anos)</t>
  </si>
  <si>
    <t xml:space="preserve">2 Anos </t>
  </si>
  <si>
    <t xml:space="preserve">5 Anos </t>
  </si>
  <si>
    <t xml:space="preserve">10 Anos </t>
  </si>
  <si>
    <t xml:space="preserve">20 Anos </t>
  </si>
  <si>
    <t xml:space="preserve">30 Anos </t>
  </si>
  <si>
    <t>INDICADORES FINANCEIROS</t>
  </si>
  <si>
    <t>Total Investido</t>
  </si>
  <si>
    <t>Lucro Acumulado</t>
  </si>
  <si>
    <t>Dividend Yield Anual</t>
  </si>
  <si>
    <t>Renda Passiva Anual</t>
  </si>
  <si>
    <t>Meta de Renda Passiva</t>
  </si>
  <si>
    <t>Patrimônio Necessário</t>
  </si>
  <si>
    <t xml:space="preserve">Rentabilidade mensal </t>
  </si>
  <si>
    <t xml:space="preserve">Patrimônio Acumulado </t>
  </si>
  <si>
    <t xml:space="preserve">Dividendos Mensais </t>
  </si>
  <si>
    <t>Simulador de Meta Financeira</t>
  </si>
  <si>
    <t>Rentabilidade média da 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</si>
</sst>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70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0"/>
      <name val="Segoe UI Semibold"/>
      <family val="2"/>
    </font>
    <font>
      <b/>
      <sz val="14"/>
      <name val="Segoe UI Semibold"/>
      <family val="2"/>
    </font>
    <font>
      <sz val="14"/>
      <color theme="0"/>
      <name val="Segoe UI Semibold"/>
      <family val="2"/>
    </font>
    <font>
      <b/>
      <sz val="11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164" fontId="7" fillId="4" borderId="6" xfId="0" applyNumberFormat="1" applyFont="1" applyFill="1" applyBorder="1" applyAlignment="1">
      <alignment horizontal="center"/>
    </xf>
    <xf numFmtId="164" fontId="7" fillId="4" borderId="7" xfId="0" applyNumberFormat="1" applyFont="1" applyFill="1" applyBorder="1" applyAlignment="1">
      <alignment horizontal="center"/>
    </xf>
    <xf numFmtId="164" fontId="7" fillId="4" borderId="9" xfId="0" applyNumberFormat="1" applyFont="1" applyFill="1" applyBorder="1" applyAlignment="1">
      <alignment horizontal="center"/>
    </xf>
    <xf numFmtId="164" fontId="7" fillId="4" borderId="10" xfId="0" applyNumberFormat="1" applyFont="1" applyFill="1" applyBorder="1" applyAlignment="1">
      <alignment horizontal="center"/>
    </xf>
    <xf numFmtId="164" fontId="7" fillId="4" borderId="12" xfId="0" applyNumberFormat="1" applyFont="1" applyFill="1" applyBorder="1" applyAlignment="1">
      <alignment horizontal="center"/>
    </xf>
    <xf numFmtId="164" fontId="7" fillId="4" borderId="13" xfId="0" applyNumberFormat="1" applyFont="1" applyFill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0" fontId="8" fillId="0" borderId="19" xfId="0" applyNumberFormat="1" applyFont="1" applyBorder="1" applyAlignment="1">
      <alignment horizontal="center"/>
    </xf>
    <xf numFmtId="8" fontId="8" fillId="4" borderId="19" xfId="0" applyNumberFormat="1" applyFont="1" applyFill="1" applyBorder="1" applyAlignment="1">
      <alignment horizontal="center"/>
    </xf>
    <xf numFmtId="8" fontId="8" fillId="4" borderId="22" xfId="0" applyNumberFormat="1" applyFont="1" applyFill="1" applyBorder="1" applyAlignment="1">
      <alignment horizontal="center"/>
    </xf>
    <xf numFmtId="164" fontId="7" fillId="0" borderId="16" xfId="1" applyNumberFormat="1" applyFont="1" applyBorder="1" applyAlignment="1">
      <alignment horizontal="center"/>
    </xf>
    <xf numFmtId="10" fontId="7" fillId="0" borderId="19" xfId="0" applyNumberFormat="1" applyFont="1" applyBorder="1" applyAlignment="1">
      <alignment horizontal="center"/>
    </xf>
    <xf numFmtId="164" fontId="7" fillId="6" borderId="22" xfId="0" applyNumberFormat="1" applyFont="1" applyFill="1" applyBorder="1" applyAlignment="1">
      <alignment horizontal="center"/>
    </xf>
    <xf numFmtId="0" fontId="2" fillId="2" borderId="0" xfId="3"/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13" fillId="2" borderId="0" xfId="3" applyFont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9" fontId="0" fillId="9" borderId="0" xfId="0" applyNumberFormat="1" applyFill="1" applyAlignment="1">
      <alignment horizontal="center"/>
    </xf>
    <xf numFmtId="0" fontId="2" fillId="9" borderId="0" xfId="3" applyFill="1"/>
    <xf numFmtId="9" fontId="2" fillId="9" borderId="0" xfId="2" applyFont="1" applyFill="1"/>
    <xf numFmtId="0" fontId="6" fillId="6" borderId="14" xfId="0" applyFont="1" applyFill="1" applyBorder="1" applyAlignment="1">
      <alignment horizontal="left" indent="3"/>
    </xf>
    <xf numFmtId="0" fontId="6" fillId="6" borderId="15" xfId="0" applyFont="1" applyFill="1" applyBorder="1" applyAlignment="1">
      <alignment horizontal="left" indent="3"/>
    </xf>
    <xf numFmtId="0" fontId="6" fillId="6" borderId="17" xfId="0" applyFont="1" applyFill="1" applyBorder="1" applyAlignment="1">
      <alignment horizontal="left" indent="3"/>
    </xf>
    <xf numFmtId="0" fontId="6" fillId="6" borderId="18" xfId="0" applyFont="1" applyFill="1" applyBorder="1" applyAlignment="1">
      <alignment horizontal="left" indent="3"/>
    </xf>
    <xf numFmtId="0" fontId="6" fillId="6" borderId="20" xfId="0" applyFont="1" applyFill="1" applyBorder="1" applyAlignment="1">
      <alignment horizontal="left" indent="3"/>
    </xf>
    <xf numFmtId="0" fontId="6" fillId="6" borderId="21" xfId="0" applyFont="1" applyFill="1" applyBorder="1" applyAlignment="1">
      <alignment horizontal="left" indent="3"/>
    </xf>
    <xf numFmtId="0" fontId="9" fillId="4" borderId="17" xfId="0" applyFont="1" applyFill="1" applyBorder="1" applyAlignment="1">
      <alignment horizontal="left" indent="3"/>
    </xf>
    <xf numFmtId="0" fontId="9" fillId="4" borderId="18" xfId="0" applyFont="1" applyFill="1" applyBorder="1" applyAlignment="1">
      <alignment horizontal="left" indent="3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left" indent="3"/>
    </xf>
    <xf numFmtId="0" fontId="9" fillId="4" borderId="21" xfId="0" applyFont="1" applyFill="1" applyBorder="1" applyAlignment="1">
      <alignment horizontal="left" indent="3"/>
    </xf>
    <xf numFmtId="0" fontId="12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8" fontId="8" fillId="4" borderId="23" xfId="0" applyNumberFormat="1" applyFont="1" applyFill="1" applyBorder="1" applyAlignment="1">
      <alignment horizontal="center"/>
    </xf>
    <xf numFmtId="0" fontId="6" fillId="6" borderId="24" xfId="0" applyFont="1" applyFill="1" applyBorder="1" applyAlignment="1">
      <alignment horizontal="left" indent="3"/>
    </xf>
    <xf numFmtId="0" fontId="6" fillId="6" borderId="25" xfId="0" applyFont="1" applyFill="1" applyBorder="1" applyAlignment="1">
      <alignment horizontal="left" indent="3"/>
    </xf>
    <xf numFmtId="170" fontId="8" fillId="0" borderId="19" xfId="0" applyNumberFormat="1" applyFont="1" applyBorder="1" applyAlignment="1">
      <alignment horizontal="center"/>
    </xf>
    <xf numFmtId="0" fontId="9" fillId="4" borderId="26" xfId="0" applyFont="1" applyFill="1" applyBorder="1" applyAlignment="1">
      <alignment horizontal="left" indent="3"/>
    </xf>
    <xf numFmtId="0" fontId="9" fillId="4" borderId="27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Simulador!$C$48</c:f>
              <c:strCache>
                <c:ptCount val="1"/>
                <c:pt idx="0">
                  <c:v>(%)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4-4B7F-9BED-2955F047FBE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4-4B7F-9BED-2955F047FBE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14-4B7F-9BED-2955F047FBE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14-4B7F-9BED-2955F047FBE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14-4B7F-9BED-2955F047FBE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14-4B7F-9BED-2955F047FB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Simulador!$B$49:$B$54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Simulador!$C$49:$C$54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1</xdr:row>
      <xdr:rowOff>5896</xdr:rowOff>
    </xdr:from>
    <xdr:to>
      <xdr:col>4</xdr:col>
      <xdr:colOff>240164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6005"/>
          <a:ext cx="5894643" cy="1460378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55</xdr:row>
      <xdr:rowOff>97971</xdr:rowOff>
    </xdr:from>
    <xdr:to>
      <xdr:col>3</xdr:col>
      <xdr:colOff>892175</xdr:colOff>
      <xdr:row>68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228600</xdr:colOff>
      <xdr:row>2</xdr:row>
      <xdr:rowOff>108008</xdr:rowOff>
    </xdr:from>
    <xdr:to>
      <xdr:col>1</xdr:col>
      <xdr:colOff>1385453</xdr:colOff>
      <xdr:row>8</xdr:row>
      <xdr:rowOff>3584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73CC62-3FC1-BB5E-EA08-7C4785097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673" y="468226"/>
          <a:ext cx="1156853" cy="976231"/>
        </a:xfrm>
        <a:prstGeom prst="rect">
          <a:avLst/>
        </a:prstGeom>
      </xdr:spPr>
    </xdr:pic>
    <xdr:clientData/>
  </xdr:twoCellAnchor>
  <xdr:oneCellAnchor>
    <xdr:from>
      <xdr:col>1</xdr:col>
      <xdr:colOff>1503217</xdr:colOff>
      <xdr:row>2</xdr:row>
      <xdr:rowOff>90055</xdr:rowOff>
    </xdr:from>
    <xdr:ext cx="3345874" cy="99060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336CB490-6363-D886-62E9-FB222E8E79A1}"/>
            </a:ext>
          </a:extLst>
        </xdr:cNvPr>
        <xdr:cNvSpPr txBox="1"/>
      </xdr:nvSpPr>
      <xdr:spPr>
        <a:xfrm>
          <a:off x="1877290" y="450273"/>
          <a:ext cx="3345874" cy="990600"/>
        </a:xfrm>
        <a:prstGeom prst="rect">
          <a:avLst/>
        </a:prstGeom>
        <a:solidFill>
          <a:schemeClr val="accent3"/>
        </a:solidFill>
        <a:ln>
          <a:solidFill>
            <a:schemeClr val="accent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6000" b="1">
              <a:solidFill>
                <a:schemeClr val="bg1"/>
              </a:solidFill>
            </a:rPr>
            <a:t>FII VISION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1:H55"/>
  <sheetViews>
    <sheetView showGridLines="0" tabSelected="1" zoomScale="110" zoomScaleNormal="110" workbookViewId="0">
      <selection activeCell="A29" sqref="A29:XFD29"/>
    </sheetView>
  </sheetViews>
  <sheetFormatPr defaultColWidth="0" defaultRowHeight="14.4" x14ac:dyDescent="0.3"/>
  <cols>
    <col min="1" max="1" width="5.44140625" customWidth="1"/>
    <col min="2" max="2" width="46.77734375" customWidth="1"/>
    <col min="3" max="3" width="17.44140625" bestFit="1" customWidth="1"/>
    <col min="4" max="4" width="15.6640625" bestFit="1" customWidth="1"/>
    <col min="5" max="8" width="3.5546875" customWidth="1"/>
    <col min="9" max="16383" width="8.77734375" hidden="1"/>
    <col min="16384" max="16384" width="8.77734375" hidden="1" customWidth="1"/>
  </cols>
  <sheetData>
    <row r="11" spans="2:4" ht="15" thickBot="1" x14ac:dyDescent="0.35"/>
    <row r="12" spans="2:4" ht="28.5" customHeight="1" x14ac:dyDescent="0.3">
      <c r="B12" s="49" t="s">
        <v>30</v>
      </c>
      <c r="C12" s="46"/>
      <c r="D12" s="50"/>
    </row>
    <row r="13" spans="2:4" ht="19.2" x14ac:dyDescent="0.45">
      <c r="B13" s="37" t="s">
        <v>23</v>
      </c>
      <c r="C13" s="38"/>
      <c r="D13" s="11">
        <v>800</v>
      </c>
    </row>
    <row r="14" spans="2:4" ht="19.2" x14ac:dyDescent="0.45">
      <c r="B14" s="39" t="s">
        <v>24</v>
      </c>
      <c r="C14" s="40"/>
      <c r="D14" s="12">
        <v>8</v>
      </c>
    </row>
    <row r="15" spans="2:4" ht="19.2" x14ac:dyDescent="0.45">
      <c r="B15" s="39" t="s">
        <v>37</v>
      </c>
      <c r="C15" s="40"/>
      <c r="D15" s="13">
        <v>1.0789999999999999E-2</v>
      </c>
    </row>
    <row r="16" spans="2:4" ht="19.2" x14ac:dyDescent="0.45">
      <c r="B16" s="39" t="s">
        <v>33</v>
      </c>
      <c r="C16" s="40"/>
      <c r="D16" s="13">
        <f>taxa_mensal*12</f>
        <v>0.12947999999999998</v>
      </c>
    </row>
    <row r="17" spans="1:4" ht="19.2" x14ac:dyDescent="0.45">
      <c r="B17" s="43" t="s">
        <v>38</v>
      </c>
      <c r="C17" s="44"/>
      <c r="D17" s="14">
        <f>FV(taxa_mensal,qtd_anos*12,aporte*-1)</f>
        <v>133596.47965058504</v>
      </c>
    </row>
    <row r="18" spans="1:4" ht="19.2" x14ac:dyDescent="0.45">
      <c r="B18" s="43" t="s">
        <v>31</v>
      </c>
      <c r="C18" s="44"/>
      <c r="D18" s="57">
        <f>aporte*(qtd_anos*12)</f>
        <v>76800</v>
      </c>
    </row>
    <row r="19" spans="1:4" ht="19.2" x14ac:dyDescent="0.45">
      <c r="B19" s="43" t="s">
        <v>32</v>
      </c>
      <c r="C19" s="44"/>
      <c r="D19" s="57">
        <f>patrimonio-D18</f>
        <v>56796.479650585039</v>
      </c>
    </row>
    <row r="20" spans="1:4" ht="19.2" x14ac:dyDescent="0.45">
      <c r="B20" s="43" t="s">
        <v>39</v>
      </c>
      <c r="C20" s="44"/>
      <c r="D20" s="57">
        <f>patrimonio*rendimento_carteira</f>
        <v>1335.9647965058505</v>
      </c>
    </row>
    <row r="21" spans="1:4" ht="19.8" thickBot="1" x14ac:dyDescent="0.5">
      <c r="B21" s="47" t="s">
        <v>34</v>
      </c>
      <c r="C21" s="48"/>
      <c r="D21" s="15">
        <f>D20*12</f>
        <v>16031.577558070207</v>
      </c>
    </row>
    <row r="23" spans="1:4" ht="15" thickBot="1" x14ac:dyDescent="0.35"/>
    <row r="24" spans="1:4" ht="20.399999999999999" x14ac:dyDescent="0.3">
      <c r="B24" s="49" t="s">
        <v>40</v>
      </c>
      <c r="C24" s="46"/>
      <c r="D24" s="50"/>
    </row>
    <row r="25" spans="1:4" ht="19.2" x14ac:dyDescent="0.45">
      <c r="B25" s="58" t="s">
        <v>35</v>
      </c>
      <c r="C25" s="59"/>
      <c r="D25" s="11">
        <v>5000</v>
      </c>
    </row>
    <row r="26" spans="1:4" ht="19.2" x14ac:dyDescent="0.45">
      <c r="B26" s="39" t="s">
        <v>41</v>
      </c>
      <c r="C26" s="40"/>
      <c r="D26" s="60">
        <v>8.0000000000000002E-3</v>
      </c>
    </row>
    <row r="27" spans="1:4" ht="19.8" thickBot="1" x14ac:dyDescent="0.5">
      <c r="B27" s="61" t="s">
        <v>36</v>
      </c>
      <c r="C27" s="62"/>
      <c r="D27" s="15">
        <f>D25/D26</f>
        <v>625000</v>
      </c>
    </row>
    <row r="29" spans="1:4" ht="15" thickBot="1" x14ac:dyDescent="0.35"/>
    <row r="30" spans="1:4" ht="20.399999999999999" x14ac:dyDescent="0.3">
      <c r="B30" s="45" t="s">
        <v>22</v>
      </c>
      <c r="C30" s="46"/>
      <c r="D30" s="4" t="s">
        <v>0</v>
      </c>
    </row>
    <row r="31" spans="1:4" ht="19.2" x14ac:dyDescent="0.45">
      <c r="A31" s="1">
        <v>2</v>
      </c>
      <c r="B31" s="54" t="s">
        <v>25</v>
      </c>
      <c r="C31" s="5">
        <f>FV($D$15,2*12,aporte*-1)</f>
        <v>21782.101838116174</v>
      </c>
      <c r="D31" s="6">
        <f>C31*rendimento_carteira</f>
        <v>217.82101838116174</v>
      </c>
    </row>
    <row r="32" spans="1:4" ht="19.2" x14ac:dyDescent="0.45">
      <c r="A32" s="1">
        <v>5</v>
      </c>
      <c r="B32" s="55" t="s">
        <v>26</v>
      </c>
      <c r="C32" s="7">
        <f>FV($D$15,$A32*12,$D$13*-1)</f>
        <v>67021.531198790108</v>
      </c>
      <c r="D32" s="8">
        <f>C32*rendimento_carteira</f>
        <v>670.21531198790115</v>
      </c>
    </row>
    <row r="33" spans="1:4" ht="19.2" x14ac:dyDescent="0.45">
      <c r="A33" s="1">
        <v>10</v>
      </c>
      <c r="B33" s="55" t="s">
        <v>27</v>
      </c>
      <c r="C33" s="7">
        <f>FV($D$15,$A33*12,$D$13*-1)</f>
        <v>194627.37002413775</v>
      </c>
      <c r="D33" s="8">
        <f>C33*rendimento_carteira</f>
        <v>1946.2737002413776</v>
      </c>
    </row>
    <row r="34" spans="1:4" ht="19.2" x14ac:dyDescent="0.45">
      <c r="A34" s="1">
        <v>20</v>
      </c>
      <c r="B34" s="55" t="s">
        <v>28</v>
      </c>
      <c r="C34" s="7">
        <f>FV($D$15,$A34*12,$D$13*-1)</f>
        <v>900158.72007766447</v>
      </c>
      <c r="D34" s="8">
        <f>C34*rendimento_carteira</f>
        <v>9001.5872007766447</v>
      </c>
    </row>
    <row r="35" spans="1:4" ht="19.8" thickBot="1" x14ac:dyDescent="0.5">
      <c r="A35" s="1">
        <v>30</v>
      </c>
      <c r="B35" s="56" t="s">
        <v>29</v>
      </c>
      <c r="C35" s="9">
        <f>FV($D$15,$A35*12,$D$13*-1)</f>
        <v>3457735.7240037718</v>
      </c>
      <c r="D35" s="10">
        <f>C35*rendimento_carteira</f>
        <v>34577.357240037716</v>
      </c>
    </row>
    <row r="37" spans="1:4" ht="15" thickBot="1" x14ac:dyDescent="0.35"/>
    <row r="38" spans="1:4" ht="20.399999999999999" x14ac:dyDescent="0.3">
      <c r="B38" s="51" t="s">
        <v>20</v>
      </c>
      <c r="C38" s="52"/>
      <c r="D38" s="53"/>
    </row>
    <row r="39" spans="1:4" ht="19.2" x14ac:dyDescent="0.45">
      <c r="B39" s="37" t="s">
        <v>2</v>
      </c>
      <c r="C39" s="38"/>
      <c r="D39" s="16">
        <v>4500</v>
      </c>
    </row>
    <row r="40" spans="1:4" ht="19.2" x14ac:dyDescent="0.45">
      <c r="B40" s="39" t="s">
        <v>1</v>
      </c>
      <c r="C40" s="40"/>
      <c r="D40" s="17">
        <v>0.01</v>
      </c>
    </row>
    <row r="41" spans="1:4" ht="19.8" thickBot="1" x14ac:dyDescent="0.5">
      <c r="B41" s="41" t="s">
        <v>18</v>
      </c>
      <c r="C41" s="42"/>
      <c r="D41" s="18">
        <f>D39*30%</f>
        <v>1350</v>
      </c>
    </row>
    <row r="45" spans="1:4" x14ac:dyDescent="0.3">
      <c r="B45" s="31" t="s">
        <v>21</v>
      </c>
      <c r="C45" s="31" t="s">
        <v>5</v>
      </c>
      <c r="D45" s="19"/>
    </row>
    <row r="46" spans="1:4" x14ac:dyDescent="0.3">
      <c r="B46" s="20" t="s">
        <v>6</v>
      </c>
      <c r="C46" s="21">
        <f>aporte</f>
        <v>800</v>
      </c>
      <c r="D46" s="20"/>
    </row>
    <row r="48" spans="1:4" x14ac:dyDescent="0.3">
      <c r="B48" s="22" t="s">
        <v>8</v>
      </c>
      <c r="C48" s="22" t="s">
        <v>19</v>
      </c>
      <c r="D48" s="22" t="s">
        <v>9</v>
      </c>
    </row>
    <row r="49" spans="2:4" x14ac:dyDescent="0.3">
      <c r="B49" s="2" t="s">
        <v>10</v>
      </c>
      <c r="C49" s="3">
        <f>VLOOKUP($C$45&amp;"-"&amp;B49,'Tipo de Fundos'!$A:$D,4,FALSE)</f>
        <v>0.5</v>
      </c>
      <c r="D49" s="25">
        <f>C49*$C$46</f>
        <v>400</v>
      </c>
    </row>
    <row r="50" spans="2:4" x14ac:dyDescent="0.3">
      <c r="B50" s="2" t="s">
        <v>11</v>
      </c>
      <c r="C50" s="3">
        <f>VLOOKUP($C$45&amp;"-"&amp;B50,'Tipo de Fundos'!$A:$D,4,FALSE)</f>
        <v>0.1</v>
      </c>
      <c r="D50" s="25">
        <f t="shared" ref="D50:D54" si="0">C50*$C$46</f>
        <v>80</v>
      </c>
    </row>
    <row r="51" spans="2:4" x14ac:dyDescent="0.3">
      <c r="B51" s="2" t="s">
        <v>12</v>
      </c>
      <c r="C51" s="3">
        <f>VLOOKUP($C$45&amp;"-"&amp;B51,'Tipo de Fundos'!$A:$D,4,FALSE)</f>
        <v>0.05</v>
      </c>
      <c r="D51" s="25">
        <f t="shared" si="0"/>
        <v>40</v>
      </c>
    </row>
    <row r="52" spans="2:4" x14ac:dyDescent="0.3">
      <c r="B52" s="2" t="s">
        <v>13</v>
      </c>
      <c r="C52" s="3">
        <f>VLOOKUP($C$45&amp;"-"&amp;B52,'Tipo de Fundos'!$A:$D,4,FALSE)</f>
        <v>0.05</v>
      </c>
      <c r="D52" s="25">
        <f t="shared" si="0"/>
        <v>40</v>
      </c>
    </row>
    <row r="53" spans="2:4" x14ac:dyDescent="0.3">
      <c r="B53" s="2" t="s">
        <v>14</v>
      </c>
      <c r="C53" s="3">
        <f>VLOOKUP($C$45&amp;"-"&amp;B53,'Tipo de Fundos'!$A:$D,4,FALSE)</f>
        <v>0.2</v>
      </c>
      <c r="D53" s="25">
        <f t="shared" si="0"/>
        <v>160</v>
      </c>
    </row>
    <row r="54" spans="2:4" x14ac:dyDescent="0.3">
      <c r="B54" s="2" t="s">
        <v>15</v>
      </c>
      <c r="C54" s="3">
        <f>VLOOKUP($C$45&amp;"-"&amp;B54,'Tipo de Fundos'!$A:$D,4,FALSE)</f>
        <v>0.1</v>
      </c>
      <c r="D54" s="25">
        <f t="shared" si="0"/>
        <v>80</v>
      </c>
    </row>
    <row r="55" spans="2:4" x14ac:dyDescent="0.3">
      <c r="B55" s="23"/>
      <c r="C55" s="23"/>
      <c r="D55" s="24">
        <f>SUM(D49:D54)</f>
        <v>800</v>
      </c>
    </row>
  </sheetData>
  <mergeCells count="19">
    <mergeCell ref="B38:D38"/>
    <mergeCell ref="B24:D24"/>
    <mergeCell ref="B25:C25"/>
    <mergeCell ref="B26:C26"/>
    <mergeCell ref="B27:C27"/>
    <mergeCell ref="B39:C39"/>
    <mergeCell ref="B40:C40"/>
    <mergeCell ref="B41:C41"/>
    <mergeCell ref="B17:C17"/>
    <mergeCell ref="B30:C30"/>
    <mergeCell ref="B13:C13"/>
    <mergeCell ref="B14:C14"/>
    <mergeCell ref="B15:C15"/>
    <mergeCell ref="B12:D12"/>
    <mergeCell ref="B18:C18"/>
    <mergeCell ref="B19:C19"/>
    <mergeCell ref="B16:C16"/>
    <mergeCell ref="B21:C21"/>
    <mergeCell ref="B20:C20"/>
  </mergeCells>
  <dataValidations disablePrompts="1" count="1">
    <dataValidation type="list" allowBlank="1" showInputMessage="1" showErrorMessage="1" sqref="C45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25" sqref="C25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</cols>
  <sheetData>
    <row r="2" spans="1:8" x14ac:dyDescent="0.3">
      <c r="A2" s="29" t="s">
        <v>17</v>
      </c>
      <c r="B2" s="29" t="s">
        <v>7</v>
      </c>
      <c r="C2" s="30" t="s">
        <v>8</v>
      </c>
      <c r="D2" s="30" t="s">
        <v>16</v>
      </c>
    </row>
    <row r="3" spans="1:8" x14ac:dyDescent="0.3">
      <c r="A3" t="str">
        <f>B3&amp;"-"&amp;C3</f>
        <v>Conservador-PAPEL</v>
      </c>
      <c r="B3" t="s">
        <v>3</v>
      </c>
      <c r="C3" s="2" t="s">
        <v>10</v>
      </c>
      <c r="D3" s="3">
        <v>0.3</v>
      </c>
    </row>
    <row r="4" spans="1:8" x14ac:dyDescent="0.3">
      <c r="A4" t="str">
        <f>B4&amp;"-"&amp;C4</f>
        <v>Conservador-TIJOLO</v>
      </c>
      <c r="B4" t="s">
        <v>3</v>
      </c>
      <c r="C4" s="2" t="s">
        <v>11</v>
      </c>
      <c r="D4" s="3">
        <v>0.5</v>
      </c>
      <c r="G4" s="35"/>
      <c r="H4" s="36"/>
    </row>
    <row r="5" spans="1:8" x14ac:dyDescent="0.3">
      <c r="A5" t="str">
        <f>B5&amp;"-"&amp;C5</f>
        <v>Conservador-HÍBRIDOS</v>
      </c>
      <c r="B5" t="s">
        <v>3</v>
      </c>
      <c r="C5" s="2" t="s">
        <v>12</v>
      </c>
      <c r="D5" s="3">
        <v>0.1</v>
      </c>
      <c r="G5" s="32"/>
      <c r="H5" s="32"/>
    </row>
    <row r="6" spans="1:8" x14ac:dyDescent="0.3">
      <c r="A6" t="str">
        <f t="shared" ref="A6:A20" si="0">B6&amp;"-"&amp;C6</f>
        <v>Conservador-FOFs</v>
      </c>
      <c r="B6" t="s">
        <v>3</v>
      </c>
      <c r="C6" s="2" t="s">
        <v>13</v>
      </c>
      <c r="D6" s="3">
        <v>0.1</v>
      </c>
    </row>
    <row r="7" spans="1:8" x14ac:dyDescent="0.3">
      <c r="A7" t="str">
        <f t="shared" si="0"/>
        <v>Conservador-DESENVOLVIMENTO</v>
      </c>
      <c r="B7" t="s">
        <v>3</v>
      </c>
      <c r="C7" s="2" t="s">
        <v>14</v>
      </c>
      <c r="D7" s="3">
        <v>0</v>
      </c>
    </row>
    <row r="8" spans="1:8" ht="15" thickBot="1" x14ac:dyDescent="0.35">
      <c r="A8" s="26" t="str">
        <f t="shared" si="0"/>
        <v>Conservador-HOTELARIAS</v>
      </c>
      <c r="B8" s="26" t="s">
        <v>3</v>
      </c>
      <c r="C8" s="27" t="s">
        <v>15</v>
      </c>
      <c r="D8" s="28">
        <v>0</v>
      </c>
    </row>
    <row r="9" spans="1:8" x14ac:dyDescent="0.3">
      <c r="A9" s="32" t="str">
        <f t="shared" si="0"/>
        <v>Moderado-PAPEL</v>
      </c>
      <c r="B9" s="32" t="s">
        <v>4</v>
      </c>
      <c r="C9" s="33" t="s">
        <v>10</v>
      </c>
      <c r="D9" s="34">
        <v>0.32</v>
      </c>
    </row>
    <row r="10" spans="1:8" x14ac:dyDescent="0.3">
      <c r="A10" s="32" t="str">
        <f t="shared" si="0"/>
        <v>Moderado-TIJOLO</v>
      </c>
      <c r="B10" s="32" t="s">
        <v>4</v>
      </c>
      <c r="C10" s="33" t="s">
        <v>11</v>
      </c>
      <c r="D10" s="34">
        <v>0.35</v>
      </c>
    </row>
    <row r="11" spans="1:8" x14ac:dyDescent="0.3">
      <c r="A11" s="32" t="str">
        <f t="shared" si="0"/>
        <v>Moderado-HÍBRIDOS</v>
      </c>
      <c r="B11" s="32" t="s">
        <v>4</v>
      </c>
      <c r="C11" s="33" t="s">
        <v>12</v>
      </c>
      <c r="D11" s="34">
        <v>0.08</v>
      </c>
    </row>
    <row r="12" spans="1:8" x14ac:dyDescent="0.3">
      <c r="A12" s="32" t="str">
        <f t="shared" si="0"/>
        <v>Moderado-FOFs</v>
      </c>
      <c r="B12" s="32" t="s">
        <v>4</v>
      </c>
      <c r="C12" s="33" t="s">
        <v>13</v>
      </c>
      <c r="D12" s="34">
        <v>0.05</v>
      </c>
    </row>
    <row r="13" spans="1:8" x14ac:dyDescent="0.3">
      <c r="A13" t="str">
        <f t="shared" si="0"/>
        <v>Moderado-DESENVOLVIMENTO</v>
      </c>
      <c r="B13" t="s">
        <v>4</v>
      </c>
      <c r="C13" s="2" t="s">
        <v>14</v>
      </c>
      <c r="D13" s="3">
        <v>0.1</v>
      </c>
    </row>
    <row r="14" spans="1:8" ht="15" thickBot="1" x14ac:dyDescent="0.35">
      <c r="A14" s="26" t="str">
        <f t="shared" si="0"/>
        <v>Moderado-HOTELARIAS</v>
      </c>
      <c r="B14" s="26" t="s">
        <v>4</v>
      </c>
      <c r="C14" s="27" t="s">
        <v>15</v>
      </c>
      <c r="D14" s="28">
        <v>0.1</v>
      </c>
    </row>
    <row r="15" spans="1:8" x14ac:dyDescent="0.3">
      <c r="A15" t="str">
        <f t="shared" si="0"/>
        <v>Agressivo-PAPEL</v>
      </c>
      <c r="B15" t="s">
        <v>5</v>
      </c>
      <c r="C15" s="2" t="s">
        <v>10</v>
      </c>
      <c r="D15" s="3">
        <v>0.5</v>
      </c>
    </row>
    <row r="16" spans="1:8" x14ac:dyDescent="0.3">
      <c r="A16" t="str">
        <f t="shared" si="0"/>
        <v>Agressivo-TIJOLO</v>
      </c>
      <c r="B16" t="s">
        <v>5</v>
      </c>
      <c r="C16" s="2" t="s">
        <v>11</v>
      </c>
      <c r="D16" s="3">
        <v>0.1</v>
      </c>
    </row>
    <row r="17" spans="1:4" x14ac:dyDescent="0.3">
      <c r="A17" t="str">
        <f t="shared" si="0"/>
        <v>Agressivo-HÍBRIDOS</v>
      </c>
      <c r="B17" t="s">
        <v>5</v>
      </c>
      <c r="C17" s="2" t="s">
        <v>12</v>
      </c>
      <c r="D17" s="3">
        <v>0.05</v>
      </c>
    </row>
    <row r="18" spans="1:4" x14ac:dyDescent="0.3">
      <c r="A18" t="str">
        <f t="shared" si="0"/>
        <v>Agressivo-FOFs</v>
      </c>
      <c r="B18" t="s">
        <v>5</v>
      </c>
      <c r="C18" s="2" t="s">
        <v>13</v>
      </c>
      <c r="D18" s="3">
        <v>0.05</v>
      </c>
    </row>
    <row r="19" spans="1:4" x14ac:dyDescent="0.3">
      <c r="A19" t="str">
        <f t="shared" si="0"/>
        <v>Agressivo-DESENVOLVIMENTO</v>
      </c>
      <c r="B19" t="s">
        <v>5</v>
      </c>
      <c r="C19" s="2" t="s">
        <v>14</v>
      </c>
      <c r="D19" s="3">
        <v>0.2</v>
      </c>
    </row>
    <row r="20" spans="1:4" x14ac:dyDescent="0.3">
      <c r="A20" t="str">
        <f t="shared" si="0"/>
        <v>Agressivo-HOTELARIAS</v>
      </c>
      <c r="B20" t="s">
        <v>5</v>
      </c>
      <c r="C20" s="2" t="s">
        <v>15</v>
      </c>
      <c r="D20" s="3">
        <v>0.1</v>
      </c>
    </row>
    <row r="21" spans="1:4" x14ac:dyDescent="0.3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Tipo de Fundos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Carlos Alexandre</cp:lastModifiedBy>
  <dcterms:created xsi:type="dcterms:W3CDTF">2025-04-16T18:38:03Z</dcterms:created>
  <dcterms:modified xsi:type="dcterms:W3CDTF">2026-05-28T01:51:25Z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